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E07F65C-FDB8-4786-9DD3-C6072E51E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F25" i="1"/>
</calcChain>
</file>

<file path=xl/sharedStrings.xml><?xml version="1.0" encoding="utf-8"?>
<sst xmlns="http://schemas.openxmlformats.org/spreadsheetml/2006/main" count="137" uniqueCount="93">
  <si>
    <t>Name</t>
  </si>
  <si>
    <t>Purpose</t>
  </si>
  <si>
    <t>Link</t>
  </si>
  <si>
    <t>Distributor</t>
  </si>
  <si>
    <t>PCB</t>
  </si>
  <si>
    <t>JLCPCB</t>
  </si>
  <si>
    <t>https://jlcpcb.com/</t>
  </si>
  <si>
    <t>IN4007 Diode</t>
  </si>
  <si>
    <t>https://www.aliexpress.com/item/1005010128860199.html?spm=a2g0o.productlist.main.13.321cVeUsVeUsDv&amp;algo_pvid=5d1dc292-8c1d-47fc-b26f-221b35f9f573&amp;algo_exp_id=5d1dc292-8c1d-47fc-b26f-221b35f9f573-31&amp;pdp_ext_f=%7B%22order%22%3A%22320%22%2C%22eval%22%3A%221%22%2C%22fromPage%22%3A%22search%22%7D&amp;pdp_npi=6%40dis%21USD%211.35%211.24%21%21%219.26%218.51%21%40211b61d017747780040114660e2416%2112000051243238520%21sea%21CZ%216063877758%21X%211%210%21n_tag%3A-29919%3Bd%3A1803c9ff%3Bm03_new_user%3A-29895%3BpisId%3A5000000203375670&amp;curPageLogUid=wIl4TFkDRmTA&amp;utparam-url=scene%3Asearch%7Cquery_from%3A%7Cx_object_id%3A1005010128860199%7C_p_origin_prod%3A</t>
  </si>
  <si>
    <t>Aliexpress</t>
  </si>
  <si>
    <t>Resistor 100KR</t>
  </si>
  <si>
    <t>https://www.aliexpress.com/item/1005007539842999.html?spm=a2g0o.productlist.main.13.77d7zj23zj23DF&amp;algo_pvid=1429645b-4a36-4119-a7b3-98d736dedff9&amp;algo_exp_id=1429645b-4a36-4119-a7b3-98d736dedff9-12&amp;pdp_ext_f=%7B%22order%22%3A%2220994%22%2C%22eval%22%3A%221%22%2C%22orig_sl_item_id%22%3A%221005007539842999%22%2C%22orig_item_id%22%3A%221005006898731441%22%2C%22fromPage%22%3A%22search%22%7D&amp;pdp_npi=6%40dis%21USD%213.01%211.50%21%21%2120.72%2110.36%21%402103849717747778049343615ed4db%2112000041212987998%21sea%21CZ%216063877758%21X%211%210%21n_tag%3A-29919%3Bd%3A1803c9ff%3Bm03_new_user%3A-29895&amp;curPageLogUid=Yploor7BfNi6&amp;utparam-url=scene%3Asearch%7Cquery_from%3A%7Cx_object_id%3A1005007539842999%7C_p_origin_prod%3A1005006898731441</t>
  </si>
  <si>
    <t>Power cable</t>
  </si>
  <si>
    <t>https://www.aliexpress.com/item/1005005203646529.html?spm=a2g0o.productlist.main.3.2506vKL4vKL4H0&amp;algo_pvid=1ff6970a-e554-417a-9736-11d1abc39dd8&amp;algo_exp_id=1ff6970a-e554-417a-9736-11d1abc39dd8-20&amp;pdp_ext_f=%7B%22order%22%3A%223659%22%2C%22spu_best_type%22%3A%22price%22%2C%22eval%22%3A%221%22%2C%22fromPage%22%3A%22search%22%7D&amp;pdp_npi=6%40dis%21USD%210.47%210.42%21%21%210.47%210.42%21%40211b813b17747164515903870eec0a%2112000032140706915%21sea%21CZ%210%21ABX%211%210%21n_tag%3A-29910%3Bd%3A1803c9ff%3Bm03_new_user%3A-29895&amp;curPageLogUid=I0lyyNmGkllr&amp;utparam-url=scene%3Asearch%7Cquery_from%3A%7Cx_object_id%3A1005005203646529%7C_p_origin_prod%3A</t>
  </si>
  <si>
    <t>Freewheeling diode SB1100</t>
  </si>
  <si>
    <t>https://www.aliexpress.com/item/1005007349885370.html?spm=a2g0o.productlist.main.1.6f9059c6bqkyBC&amp;algo_pvid=39d6c1ab-6498-423b-9c55-4e7187bf4bcb&amp;algo_exp_id=39d6c1ab-6498-423b-9c55-4e7187bf4bcb-0&amp;pdp_ext_f=%7B%22order%22%3A%2266%22%2C%22spu_best_type%22%3A%22price%22%2C%22eval%22%3A%221%22%2C%22fromPage%22%3A%22search%22%7D&amp;pdp_npi=6%40dis%21USD%212.32%210.99%21%21%2115.91%216.83%21%4021038da617740285924222759ed468%2112000040372339094%21sea%21CZ%210%21ABX%211%210%21n_tag%3A-29910%3Bd%3A1803c9ff%3Bm03_new_user%3A-29895%3BpisId%3A5000000197850273&amp;curPageLogUid=PDHqQEwCMyGC&amp;utparam-url=scene%3Asearch%7Cquery_from%3A%7Cx_object_id%3A1005007349885370%7C_p_origin_prod%3A</t>
  </si>
  <si>
    <t>https://www.aliexpress.com/item/1005007330288041.html?spm=a2g0o.productlist.main.46.767211fb70dwNG&amp;aem_p4p_detail=202603201035359611494668413260001781554&amp;algo_pvid=670cf7c4-ff83-4457-ae64-fbd872d743d6&amp;algo_exp_id=670cf7c4-ff83-4457-ae64-fbd872d743d6-39&amp;pdp_ext_f=%7B%22order%22%3A%22534%22%2C%22eval%22%3A%221%22%2C%22fromPage%22%3A%22search%22%7D&amp;pdp_npi=6%40dis%21USD%210.66%210.54%21%21%214.49%213.68%21%4021038e1e17740281354252687e86c1%2112000040294719771%21sea%21CZ%210%21ABX%211%210%21n_tag%3A-29910%3Bd%3A1803c9ff%3Bm03_new_user%3A-29895&amp;curPageLogUid=U4fOPbpAK6XU&amp;utparam-url=scene%3Asearch%7Cquery_from%3A%7Cx_object_id%3A1005007330288041%7C_p_origin_prod%3A&amp;search_p4p_id=202603201035359611494668413260001781554_10</t>
  </si>
  <si>
    <t>Zener diode 15V 1W</t>
  </si>
  <si>
    <t>https://www.aliexpress.com/item/1005006886308114.html?spm=a2g0o.productlist.main.12.763565e2VxvOFJ&amp;algo_pvid=1daef451-8bd2-46a3-bdec-a26d66933992&amp;algo_exp_id=1daef451-8bd2-46a3-bdec-a26d66933992-37&amp;pdp_ext_f=%7B%22order%22%3A%2238%22%2C%22eval%22%3A%221%22%2C%22fromPage%22%3A%22search%22%7D&amp;pdp_npi=6%40dis%21USD%211.83%210.99%21%21%211.83%210.99%21%402103956b17740280088897737e333c%2112000038620719183%21sea%21CZ%210%21ABX%211%210%21n_tag%3A-29910%3Bd%3A1803c9ff%3Bm03_new_user%3A-29895%3BpisId%3A5000000197850273&amp;curPageLogUid=5Mdrg3XuXAoh&amp;utparam-url=scene%3Asearch%7Cquery_from%3A%7Cx_object_id%3A1005006886308114%7C_p_origin_prod%3A</t>
  </si>
  <si>
    <t>https://www.aliexpress.com/item/1005003645133625.html?spm=a2g0o.productlist.main.16.338e1d45dktWii&amp;algo_pvid=601066ed-8d9a-4710-bbdd-b970ac96d48e&amp;algo_exp_id=601066ed-8d9a-4710-bbdd-b970ac96d48e-8&amp;pdp_ext_f=%7B%22order%22%3A%2256%22%2C%22eval%22%3A%221%22%2C%22fromPage%22%3A%22search%22%7D&amp;pdp_npi=6%40dis%21USD%211.29%210.90%21%21%218.85%216.19%21%40211b80e117740277498711473ed231%2112000026631349304%21sea%21CZ%210%21ABX%211%210%21n_tag%3A-29910%3Bd%3A1803c9ff%3Bm03_new_user%3A-29895&amp;curPageLogUid=fSkWTN76PRrU&amp;utparam-url=scene%3Asearch%7Cquery_from%3A%7Cx_object_id%3A1005003645133625%7C_p_origin_prod%3A</t>
  </si>
  <si>
    <t>https://www.aliexpress.com/item/32833422141.html?spm=a2g0o.productlist.main.1.154ethvKthvKIr&amp;algo_pvid=386a2713-dae7-4a0d-9e44-34a7fa4773e2&amp;algo_exp_id=386a2713-dae7-4a0d-9e44-34a7fa4773e2-0&amp;pdp_ext_f=%7B%22order%22%3A%22228%22%2C%22eval%22%3A%221%22%2C%22fromPage%22%3A%22search%22%7D&amp;pdp_npi=6%40dis%21USD%210.79%210.52%21%21%210.79%210.52%21%40210391a017740270953226446ea508%2165038750325%21sea%21CZ%210%21ABX%211%210%21n_tag%3A-29910%3Bd%3A1803c9ff%3Bm03_new_user%3A-29895&amp;curPageLogUid=HXpijeaxpZ5p&amp;utparam-url=scene%3Asearch%7Cquery_from%3A%7Cx_object_id%3A32833422141%7C_p_origin_prod%3A</t>
  </si>
  <si>
    <t>Capacitor 220uF</t>
  </si>
  <si>
    <t>https://www.aliexpress.com/item/1005007322240823.html?spm=a2g0o.productlist.main.3.4e4e6b597IeBnf&amp;algo_pvid=02edfb23-74d5-47b3-b85f-622b369b29b5&amp;algo_exp_id=02edfb23-74d5-47b3-b85f-622b369b29b5-2&amp;pdp_ext_f=%7B%22order%22%3A%222020%22%2C%22spu_best_type%22%3A%22price%22%2C%22eval%22%3A%221%22%2C%22fromPage%22%3A%22search%22%7D&amp;pdp_npi=6%40dis%21USD%211.23%210.86%21%21%211.23%210.86%21%40211b61bb17740248918105586ea653%2112000040256770954%21sea%21CZ%210%21ABX%211%210%21n_tag%3A-29910%3Bd%3A1803c9ff%3Bm03_new_user%3A-29895&amp;curPageLogUid=mx3EbfFRgrpO&amp;utparam-url=scene%3Asearch%7Cquery_from%3A%7Cx_object_id%3A1005007322240823%7C_p_origin_prod%3A</t>
  </si>
  <si>
    <t>https://www.aliexpress.com/item/1005006363058219.html?spm=a2g0o.productlist.main.11.45e51d57BhhODY&amp;algo_pvid=e61700af-3e94-40c6-837f-8b9eb99a6b25&amp;algo_exp_id=e61700af-3e94-40c6-837f-8b9eb99a6b25-10&amp;pdp_ext_f=%7B%22order%22%3A%22475%22%2C%22spu_best_type%22%3A%22price%22%2C%22eval%22%3A%221%22%2C%22fromPage%22%3A%22search%22%7D&amp;pdp_npi=6%40dis%21USD%210.76%210.66%21%21%210.76%210.66%21%402103834817740246522776895e1674%2112000036899412422%21sea%21CZ%210%21ABX%211%210%21n_tag%3A-29910%3Bd%3A1803c9ff%3Bm03_new_user%3A-29895&amp;curPageLogUid=xUFUBN3jZzu6&amp;utparam-url=scene%3Asearch%7Cquery_from%3A%7Cx_object_id%3A1005006363058219%7C_p_origin_prod%3A</t>
  </si>
  <si>
    <t>Transistor 2N7000</t>
  </si>
  <si>
    <t>https://www.aliexpress.com/item/1005007206189883.html?spm=a2g0o.productlist.main.10.52b815e34eyS3k&amp;algo_pvid=1b9e943d-a183-49b7-ac1c-45ea658339a3&amp;algo_exp_id=1b9e943d-a183-49b7-ac1c-45ea658339a3-48&amp;pdp_ext_f=%7B%22order%22%3A%2225%22%2C%22spu_best_type%22%3A%22price%22%2C%22eval%22%3A%221%22%2C%22fromPage%22%3A%22search%22%7D&amp;pdp_npi=6%40dis%21USD%210.94%210.94%21%21%210.94%210.94%21%40211b629217740244743261900e83ca%2112000039805368214%21sea%21CZ%210%21ABX%211%210%21n_tag%3A-29910%3Bd%3A1803c9ff%3Bm03_new_user%3A-29895&amp;curPageLogUid=WkHDqQGZD8lz&amp;utparam-url=scene%3Asearch%7Cquery_from%3A%7Cx_object_id%3A1005007206189883%7C_p_origin_prod%3A</t>
  </si>
  <si>
    <t>Inductors</t>
  </si>
  <si>
    <t>https://www.aliexpress.com/item/1005009049853632.html?spm=a2g0o.productlist.main.31.774bojbOojbOFw&amp;algo_pvid=b89a5244-83fa-4ea0-8365-d1b630e0f499&amp;algo_exp_id=b89a5244-83fa-4ea0-8365-d1b630e0f499-30&amp;pdp_ext_f=%7B%22order%22%3A%22147%22%2C%22eval%22%3A%221%22%2C%22fromPage%22%3A%22search%22%7D&amp;pdp_npi=6%40dis%21USD%215.02%214.32%21%21%2134.38%2129.57%21%40210384b217740241582097454e3e8a%2112000047712666401%21sea%21CZ%210%21ABX%211%210%21n_tag%3A-29910%3Bd%3A1803c9ff%3Bm03_new_user%3A-29895&amp;curPageLogUid=ZMnsTrP83ZAj&amp;utparam-url=scene%3Asearch%7Cquery_from%3A%7Cx_object_id%3A1005009049853632%7C_p_origin_prod%3A</t>
  </si>
  <si>
    <t>Heatsink</t>
  </si>
  <si>
    <t>https://www.aliexpress.com/item/1005002711238683.html?spm=a2g0o.productlist.main.50.477a4914euPoik&amp;algo_pvid=c910c5e1-95dc-480b-b3f9-444ed5662ba6&amp;algo_exp_id=c910c5e1-95dc-480b-b3f9-444ed5662ba6-49&amp;pdp_ext_f=%7B%22order%22%3A%22145%22%2C%22eval%22%3A%221%22%2C%22fromPage%22%3A%22search%22%7D&amp;pdp_npi=6%40dis%21USD%213.88%211.88%21%21%213.88%211.88%21%40211b813b17739477792101402edb6e%2112000021815358235%21sea%21CZ%210%21ABXZ%211%210%21n_tag%3A-29910%3Bd%3A1803c9ff%3Bm03_new_user%3A-29895%3BpisId%3A5000000200562567&amp;curPageLogUid=QgMZjcoePbgO&amp;utparam-url=scene%3Asearch%7Cquery_from%3A%7Cx_object_id%3A1005002711238683%7C_p_origin_prod%3A</t>
  </si>
  <si>
    <t>https://www.aliexpress.com/item/1005011844869795.html?spm=a2g0o.productlist.main.6.331aK3nTK3nTPQ&amp;algo_pvid=cbc9dd74-dd5a-4a77-907d-66a1834d7ddf&amp;algo_exp_id=cbc9dd74-dd5a-4a77-907d-66a1834d7ddf-5&amp;pdp_ext_f=%7B%22order%22%3A%22-1%22%2C%22eval%22%3A%221%22%2C%22fromPage%22%3A%22search%22%7D&amp;pdp_npi=6%40dis%21USD%214.54%214.54%21%21%2131.23%2131.23%21%40210388c917747806068723055e2327%2112000056762259380%21sea%21CZ%216063877758%21X%211%210%21n_tag%3A-29919%3Bd%3A1803c9ff%3Bm03_new_user%3A-29895&amp;curPageLogUid=CfFBsAtcuWCR&amp;utparam-url=scene%3Asearch%7Cquery_from%3A%7Cx_object_id%3A1005011844869795%7C_p_origin_prod%3A</t>
  </si>
  <si>
    <t>Mosfet IRFB7730</t>
  </si>
  <si>
    <t>From JLCPCB</t>
  </si>
  <si>
    <t>For soft starter.</t>
  </si>
  <si>
    <t xml:space="preserve">I will not be using these links, but I included them so you cam do this project even if you are not in EU. </t>
  </si>
  <si>
    <t>Coil</t>
  </si>
  <si>
    <t>100V 1A</t>
  </si>
  <si>
    <t>For power, HIGH AWG.</t>
  </si>
  <si>
    <t>Few turns of solid copper wire.</t>
  </si>
  <si>
    <t>Better heat transfer.</t>
  </si>
  <si>
    <t>Mosfet Cooling.</t>
  </si>
  <si>
    <t>Inductors 220uH.</t>
  </si>
  <si>
    <t>ZVS switching.</t>
  </si>
  <si>
    <t>ZVS switching. MOQ: 10</t>
  </si>
  <si>
    <t>For soft starter. MOQ: 20</t>
  </si>
  <si>
    <t>Resistor 10KR 5W</t>
  </si>
  <si>
    <t>Resistor 47R 5W</t>
  </si>
  <si>
    <t>Resistor 150R 5W</t>
  </si>
  <si>
    <t>IRFB7730PBF</t>
  </si>
  <si>
    <t>SK104-38STS</t>
  </si>
  <si>
    <t>DPT220A5</t>
  </si>
  <si>
    <t>2N7000-DIO</t>
  </si>
  <si>
    <t>SB1100-DIO</t>
  </si>
  <si>
    <t>CRL5W-10K</t>
  </si>
  <si>
    <t>CE-220/16PHT-Y</t>
  </si>
  <si>
    <t>QOLTEC-51630</t>
  </si>
  <si>
    <t>AC05-150R-5%</t>
  </si>
  <si>
    <t>1N4744ATR</t>
  </si>
  <si>
    <t>5W-47R</t>
  </si>
  <si>
    <t>Quantity needed:</t>
  </si>
  <si>
    <t>Thermal paste</t>
  </si>
  <si>
    <t>Symbol/TME Code:</t>
  </si>
  <si>
    <t>Total Cost (CZK):</t>
  </si>
  <si>
    <t>Total cost (USD):</t>
  </si>
  <si>
    <t>Link:</t>
  </si>
  <si>
    <t>https://www.tme.eu/cz/details/sk104-38sts/chladice/fischer-elektronik/</t>
  </si>
  <si>
    <t>https://www.tme.eu/cz/details/irfb7730pbf/tranzistory-s-kanalem-n-tht/infineon-technologies/</t>
  </si>
  <si>
    <t>https://www.tme.eu/cz/details/dpt220a5/tlumivky/ferrocore/</t>
  </si>
  <si>
    <t>https://www.tme.eu/cz/details/2n7000-dio/tranzistory-s-kanalem-n-tht/diotec-semiconductor/2n7000/</t>
  </si>
  <si>
    <t>https://www.tme.eu/cz/details/sb1100-dio/diody-schottky-tht/diotec-semiconductor/sb1100/</t>
  </si>
  <si>
    <t>https://www.tme.eu/cz/details/crl5w-10k/vykonne-rezistory/sr-passives/</t>
  </si>
  <si>
    <t>https://www.tme.eu/cz/details/ce-220_16pht-y/elektrolyticke-kondenzatory-tht/aishi/ewh1cm221e11ot/</t>
  </si>
  <si>
    <t>https://www.tme.eu/cz/details/c4af9bu4150a1xk/kondenzatory-foliove-tht/kemet/</t>
  </si>
  <si>
    <t>Capacitor 1,5uF/2uF</t>
  </si>
  <si>
    <t>C4AF9BU4150A1XK</t>
  </si>
  <si>
    <t>https://www.tme.eu/cz/details/qoltec-51630/teplovodni-pasty/qoltec/51630/</t>
  </si>
  <si>
    <t>https://www.tme.eu/cz/details/ac05-150r-5%25/vykonne-rezistory/vishay/ac05000001500jac00/</t>
  </si>
  <si>
    <t>https://www.tme.eu/cz/details/1n4744atr/zenerovy-diody-tht/onsemi/</t>
  </si>
  <si>
    <t>https://www.tme.eu/cz/details/5w-47r/rezistory-tht/royalohm/mor05sj0470afi/</t>
  </si>
  <si>
    <t>*</t>
  </si>
  <si>
    <t>*0*</t>
  </si>
  <si>
    <t>TME Shipping</t>
  </si>
  <si>
    <t>I will be using a seller based in the EU, (TME.EU), to avoid new tariff for the EU. I also included AliExpress link so everyone can do this project. I will have 2 orders one from JLCPCB that costs 8,44$, second one from TME.EU, all costs calculated in the total.</t>
  </si>
  <si>
    <t>929,71CZK =</t>
  </si>
  <si>
    <t>44,97 USD</t>
  </si>
  <si>
    <t>´+8,44 USD</t>
  </si>
  <si>
    <t>53,41 USD</t>
  </si>
  <si>
    <t>REQUESTING AMOUNT:</t>
  </si>
  <si>
    <t>TOTAL:</t>
  </si>
  <si>
    <t>58 USD</t>
  </si>
  <si>
    <t>SCREENSHOTS/CARTS BELOW!!</t>
  </si>
  <si>
    <t>TME.EU</t>
  </si>
  <si>
    <t>LCSC.COM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</si>
</sst>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_-* #,##0.00\ [$Kč-405]_-;\-* #,##0.00\ [$Kč-405]_-;_-* &quot;-&quot;??\ [$Kč-405]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rgb="FF9C0006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3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</cellStyleXfs>
  <cellXfs count="46">
    <xf numFmtId="0" fontId="0" fillId="0" borderId="0" xfId="0"/>
    <xf numFmtId="0" fontId="0" fillId="7" borderId="0" xfId="0" applyFill="1" applyBorder="1"/>
    <xf numFmtId="0" fontId="1" fillId="6" borderId="9" xfId="5" applyBorder="1"/>
    <xf numFmtId="0" fontId="1" fillId="6" borderId="9" xfId="5" applyBorder="1" applyAlignment="1">
      <alignment horizontal="center"/>
    </xf>
    <xf numFmtId="0" fontId="1" fillId="6" borderId="17" xfId="5" applyBorder="1"/>
    <xf numFmtId="0" fontId="3" fillId="5" borderId="11" xfId="4" applyFont="1" applyBorder="1"/>
    <xf numFmtId="0" fontId="3" fillId="5" borderId="12" xfId="4" applyFont="1" applyBorder="1"/>
    <xf numFmtId="0" fontId="3" fillId="5" borderId="13" xfId="4" applyFont="1" applyBorder="1"/>
    <xf numFmtId="0" fontId="6" fillId="7" borderId="0" xfId="2" applyFont="1" applyFill="1" applyBorder="1" applyAlignment="1">
      <alignment horizontal="center" vertical="center" wrapText="1"/>
    </xf>
    <xf numFmtId="0" fontId="2" fillId="7" borderId="0" xfId="1" applyFill="1" applyBorder="1" applyAlignment="1">
      <alignment vertical="center" wrapText="1"/>
    </xf>
    <xf numFmtId="0" fontId="5" fillId="3" borderId="13" xfId="2" applyBorder="1"/>
    <xf numFmtId="0" fontId="5" fillId="3" borderId="15" xfId="2" applyBorder="1"/>
    <xf numFmtId="0" fontId="5" fillId="3" borderId="18" xfId="2" applyBorder="1"/>
    <xf numFmtId="0" fontId="5" fillId="3" borderId="14" xfId="2" applyBorder="1"/>
    <xf numFmtId="0" fontId="5" fillId="3" borderId="16" xfId="2" applyBorder="1"/>
    <xf numFmtId="0" fontId="6" fillId="8" borderId="1" xfId="2" applyFont="1" applyFill="1" applyBorder="1" applyAlignment="1">
      <alignment horizontal="center" vertical="center" wrapText="1"/>
    </xf>
    <xf numFmtId="0" fontId="6" fillId="8" borderId="7" xfId="2" applyFont="1" applyFill="1" applyBorder="1" applyAlignment="1">
      <alignment horizontal="center" vertical="center" wrapText="1"/>
    </xf>
    <xf numFmtId="0" fontId="6" fillId="8" borderId="2" xfId="2" applyFont="1" applyFill="1" applyBorder="1" applyAlignment="1">
      <alignment horizontal="center" vertical="center" wrapText="1"/>
    </xf>
    <xf numFmtId="0" fontId="6" fillId="8" borderId="3" xfId="2" applyFont="1" applyFill="1" applyBorder="1" applyAlignment="1">
      <alignment horizontal="center" vertical="center" wrapText="1"/>
    </xf>
    <xf numFmtId="0" fontId="6" fillId="8" borderId="0" xfId="2" applyFont="1" applyFill="1" applyBorder="1" applyAlignment="1">
      <alignment horizontal="center" vertical="center" wrapText="1"/>
    </xf>
    <xf numFmtId="0" fontId="6" fillId="8" borderId="4" xfId="2" applyFont="1" applyFill="1" applyBorder="1" applyAlignment="1">
      <alignment horizontal="center" vertical="center" wrapText="1"/>
    </xf>
    <xf numFmtId="0" fontId="6" fillId="8" borderId="5" xfId="2" applyFont="1" applyFill="1" applyBorder="1" applyAlignment="1">
      <alignment horizontal="center" vertical="center" wrapText="1"/>
    </xf>
    <xf numFmtId="0" fontId="6" fillId="8" borderId="8" xfId="2" applyFont="1" applyFill="1" applyBorder="1" applyAlignment="1">
      <alignment horizontal="center" vertical="center" wrapText="1"/>
    </xf>
    <xf numFmtId="0" fontId="6" fillId="8" borderId="6" xfId="2" applyFont="1" applyFill="1" applyBorder="1" applyAlignment="1">
      <alignment horizontal="center" vertical="center" wrapText="1"/>
    </xf>
    <xf numFmtId="0" fontId="4" fillId="6" borderId="14" xfId="5" applyFont="1" applyBorder="1"/>
    <xf numFmtId="0" fontId="4" fillId="6" borderId="9" xfId="5" applyFont="1" applyBorder="1" applyAlignment="1">
      <alignment horizontal="center"/>
    </xf>
    <xf numFmtId="166" fontId="4" fillId="6" borderId="9" xfId="5" applyNumberFormat="1" applyFont="1" applyBorder="1" applyAlignment="1">
      <alignment horizontal="center"/>
    </xf>
    <xf numFmtId="0" fontId="4" fillId="6" borderId="16" xfId="5" applyFont="1" applyBorder="1"/>
    <xf numFmtId="0" fontId="5" fillId="3" borderId="11" xfId="2" applyBorder="1"/>
    <xf numFmtId="49" fontId="5" fillId="3" borderId="14" xfId="2" applyNumberFormat="1" applyBorder="1"/>
    <xf numFmtId="164" fontId="4" fillId="6" borderId="15" xfId="5" applyNumberFormat="1" applyFont="1" applyBorder="1" applyAlignment="1">
      <alignment horizontal="center"/>
    </xf>
    <xf numFmtId="0" fontId="4" fillId="6" borderId="17" xfId="5" applyFont="1" applyBorder="1" applyAlignment="1">
      <alignment vertical="center" wrapText="1"/>
    </xf>
    <xf numFmtId="166" fontId="1" fillId="6" borderId="17" xfId="5" applyNumberFormat="1" applyBorder="1" applyAlignment="1">
      <alignment horizontal="center" vertical="center" wrapText="1"/>
    </xf>
    <xf numFmtId="0" fontId="3" fillId="4" borderId="0" xfId="3" applyFont="1" applyAlignment="1">
      <alignment horizontal="center" vertical="center" wrapText="1"/>
    </xf>
    <xf numFmtId="166" fontId="4" fillId="6" borderId="19" xfId="5" applyNumberFormat="1" applyFont="1" applyBorder="1" applyAlignment="1">
      <alignment horizontal="center"/>
    </xf>
    <xf numFmtId="166" fontId="3" fillId="5" borderId="20" xfId="4" applyNumberFormat="1" applyFont="1" applyBorder="1" applyAlignment="1">
      <alignment vertical="center" wrapText="1"/>
    </xf>
    <xf numFmtId="164" fontId="3" fillId="5" borderId="10" xfId="4" applyNumberFormat="1" applyFont="1" applyBorder="1"/>
    <xf numFmtId="0" fontId="3" fillId="5" borderId="20" xfId="4" applyFont="1" applyBorder="1" applyAlignment="1">
      <alignment horizontal="right"/>
    </xf>
    <xf numFmtId="0" fontId="3" fillId="5" borderId="21" xfId="4" applyFont="1" applyBorder="1" applyAlignment="1">
      <alignment horizontal="center"/>
    </xf>
    <xf numFmtId="164" fontId="3" fillId="5" borderId="22" xfId="4" applyNumberFormat="1" applyFont="1" applyBorder="1" applyAlignment="1">
      <alignment horizontal="center"/>
    </xf>
    <xf numFmtId="0" fontId="10" fillId="5" borderId="20" xfId="4" applyFont="1" applyBorder="1" applyAlignment="1">
      <alignment horizontal="center"/>
    </xf>
    <xf numFmtId="0" fontId="10" fillId="5" borderId="23" xfId="4" applyFont="1" applyBorder="1" applyAlignment="1">
      <alignment horizontal="center"/>
    </xf>
    <xf numFmtId="0" fontId="9" fillId="5" borderId="21" xfId="4" applyFont="1" applyBorder="1" applyAlignment="1">
      <alignment horizontal="center"/>
    </xf>
    <xf numFmtId="0" fontId="3" fillId="5" borderId="20" xfId="4" applyFont="1" applyBorder="1" applyAlignment="1">
      <alignment horizontal="center"/>
    </xf>
    <xf numFmtId="0" fontId="8" fillId="0" borderId="0" xfId="0" applyFont="1"/>
    <xf numFmtId="0" fontId="11" fillId="0" borderId="0" xfId="0" applyFont="1"/>
  </cellXfs>
  <cellStyles count="6">
    <cellStyle name="40 % – Zvýraznění 6" xfId="5" builtinId="51"/>
    <cellStyle name="Normální" xfId="0" builtinId="0"/>
    <cellStyle name="Správně" xfId="1" builtinId="26"/>
    <cellStyle name="Špatně" xfId="2" builtinId="27"/>
    <cellStyle name="Zvýraznění 2" xfId="3" builtinId="33"/>
    <cellStyle name="Zvýraznění 6" xfId="4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455800</xdr:colOff>
      <xdr:row>22</xdr:row>
      <xdr:rowOff>106991</xdr:rowOff>
    </xdr:from>
    <xdr:to>
      <xdr:col>13</xdr:col>
      <xdr:colOff>51940</xdr:colOff>
      <xdr:row>23</xdr:row>
      <xdr:rowOff>122231</xdr:rowOff>
    </xdr:to>
    <xdr:cxnSp macro="">
      <xdr:nvCxnSpPr>
        <xdr:cNvPr id="3" name="Přímá spojnice se šipkou 2">
          <a:extLst>
            <a:ext uri="{FF2B5EF4-FFF2-40B4-BE49-F238E27FC236}">
              <a16:creationId xmlns:a16="http://schemas.microsoft.com/office/drawing/2014/main" id="{35F73DD0-4637-5ADA-A8AA-B5E8DF8402A7}"/>
            </a:ext>
          </a:extLst>
        </xdr:cNvPr>
        <xdr:cNvCxnSpPr/>
      </xdr:nvCxnSpPr>
      <xdr:spPr>
        <a:xfrm flipH="1" flipV="1">
          <a:off x="11730290" y="4266889"/>
          <a:ext cx="241507" cy="2096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</xdr:colOff>
      <xdr:row>22</xdr:row>
      <xdr:rowOff>83820</xdr:rowOff>
    </xdr:from>
    <xdr:to>
      <xdr:col>11</xdr:col>
      <xdr:colOff>304800</xdr:colOff>
      <xdr:row>23</xdr:row>
      <xdr:rowOff>106680</xdr:rowOff>
    </xdr:to>
    <xdr:cxnSp macro="">
      <xdr:nvCxnSpPr>
        <xdr:cNvPr id="6" name="Přímá spojnice se šipkou 5">
          <a:extLst>
            <a:ext uri="{FF2B5EF4-FFF2-40B4-BE49-F238E27FC236}">
              <a16:creationId xmlns:a16="http://schemas.microsoft.com/office/drawing/2014/main" id="{7B1FEE77-BB30-D468-F857-1A9130EF7385}"/>
            </a:ext>
          </a:extLst>
        </xdr:cNvPr>
        <xdr:cNvCxnSpPr/>
      </xdr:nvCxnSpPr>
      <xdr:spPr>
        <a:xfrm flipV="1">
          <a:off x="9669780" y="3230880"/>
          <a:ext cx="20574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287693</xdr:colOff>
      <xdr:row>1</xdr:row>
      <xdr:rowOff>163286</xdr:rowOff>
    </xdr:from>
    <xdr:to>
      <xdr:col>10</xdr:col>
      <xdr:colOff>311021</xdr:colOff>
      <xdr:row>4</xdr:row>
      <xdr:rowOff>124409</xdr:rowOff>
    </xdr:to>
    <xdr:cxnSp macro="">
      <xdr:nvCxnSpPr>
        <xdr:cNvPr id="11" name="Přímá spojnice se šipkou 10">
          <a:extLst>
            <a:ext uri="{FF2B5EF4-FFF2-40B4-BE49-F238E27FC236}">
              <a16:creationId xmlns:a16="http://schemas.microsoft.com/office/drawing/2014/main" id="{CF23E788-7784-DABC-746E-52E7F9664BE3}"/>
            </a:ext>
          </a:extLst>
        </xdr:cNvPr>
        <xdr:cNvCxnSpPr/>
      </xdr:nvCxnSpPr>
      <xdr:spPr>
        <a:xfrm>
          <a:off x="8374224" y="349898"/>
          <a:ext cx="3856654" cy="5287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699796</xdr:colOff>
      <xdr:row>25</xdr:row>
      <xdr:rowOff>23326</xdr:rowOff>
    </xdr:from>
    <xdr:to>
      <xdr:col>5</xdr:col>
      <xdr:colOff>653142</xdr:colOff>
      <xdr:row>26</xdr:row>
      <xdr:rowOff>116633</xdr:rowOff>
    </xdr:to>
    <xdr:cxnSp macro="">
      <xdr:nvCxnSpPr>
        <xdr:cNvPr id="13" name="Přímá spojnice se šipkou 12">
          <a:extLst>
            <a:ext uri="{FF2B5EF4-FFF2-40B4-BE49-F238E27FC236}">
              <a16:creationId xmlns:a16="http://schemas.microsoft.com/office/drawing/2014/main" id="{29135746-0D3D-8672-419B-63EE39B2FD5D}"/>
            </a:ext>
          </a:extLst>
        </xdr:cNvPr>
        <xdr:cNvCxnSpPr/>
      </xdr:nvCxnSpPr>
      <xdr:spPr>
        <a:xfrm flipH="1">
          <a:off x="6546980" y="4743061"/>
          <a:ext cx="2192693" cy="27991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132184</xdr:colOff>
      <xdr:row>25</xdr:row>
      <xdr:rowOff>108857</xdr:rowOff>
    </xdr:from>
    <xdr:to>
      <xdr:col>6</xdr:col>
      <xdr:colOff>692020</xdr:colOff>
      <xdr:row>28</xdr:row>
      <xdr:rowOff>54429</xdr:rowOff>
    </xdr:to>
    <xdr:cxnSp macro="">
      <xdr:nvCxnSpPr>
        <xdr:cNvPr id="15" name="Přímá spojnice se šipkou 14">
          <a:extLst>
            <a:ext uri="{FF2B5EF4-FFF2-40B4-BE49-F238E27FC236}">
              <a16:creationId xmlns:a16="http://schemas.microsoft.com/office/drawing/2014/main" id="{E862AA3F-59F7-40FC-B474-72328EEF297A}"/>
            </a:ext>
          </a:extLst>
        </xdr:cNvPr>
        <xdr:cNvCxnSpPr/>
      </xdr:nvCxnSpPr>
      <xdr:spPr>
        <a:xfrm flipH="1">
          <a:off x="8218715" y="4836367"/>
          <a:ext cx="1625081" cy="5209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173620</xdr:colOff>
      <xdr:row>31</xdr:row>
      <xdr:rowOff>86810</xdr:rowOff>
    </xdr:from>
    <xdr:to>
      <xdr:col>6</xdr:col>
      <xdr:colOff>173620</xdr:colOff>
      <xdr:row>32</xdr:row>
      <xdr:rowOff>115746</xdr:rowOff>
    </xdr:to>
    <xdr:cxnSp macro="">
      <xdr:nvCxnSpPr>
        <xdr:cNvPr id="18" name="Přímá spojnice se šipkou 17">
          <a:extLst>
            <a:ext uri="{FF2B5EF4-FFF2-40B4-BE49-F238E27FC236}">
              <a16:creationId xmlns:a16="http://schemas.microsoft.com/office/drawing/2014/main" id="{13E8023C-58B3-F9EC-0027-4E5A6AD91F1B}"/>
            </a:ext>
          </a:extLst>
        </xdr:cNvPr>
        <xdr:cNvCxnSpPr/>
      </xdr:nvCxnSpPr>
      <xdr:spPr>
        <a:xfrm>
          <a:off x="9327266" y="5941671"/>
          <a:ext cx="0" cy="21220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817945</xdr:colOff>
      <xdr:row>31</xdr:row>
      <xdr:rowOff>113817</xdr:rowOff>
    </xdr:from>
    <xdr:to>
      <xdr:col>6</xdr:col>
      <xdr:colOff>817945</xdr:colOff>
      <xdr:row>32</xdr:row>
      <xdr:rowOff>142753</xdr:rowOff>
    </xdr:to>
    <xdr:cxnSp macro="">
      <xdr:nvCxnSpPr>
        <xdr:cNvPr id="19" name="Přímá spojnice se šipkou 18">
          <a:extLst>
            <a:ext uri="{FF2B5EF4-FFF2-40B4-BE49-F238E27FC236}">
              <a16:creationId xmlns:a16="http://schemas.microsoft.com/office/drawing/2014/main" id="{C6584931-F29E-4A19-A495-74EBB013E0F2}"/>
            </a:ext>
          </a:extLst>
        </xdr:cNvPr>
        <xdr:cNvCxnSpPr/>
      </xdr:nvCxnSpPr>
      <xdr:spPr>
        <a:xfrm>
          <a:off x="9971591" y="5968678"/>
          <a:ext cx="0" cy="21220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439838</xdr:colOff>
      <xdr:row>31</xdr:row>
      <xdr:rowOff>92597</xdr:rowOff>
    </xdr:from>
    <xdr:to>
      <xdr:col>7</xdr:col>
      <xdr:colOff>439838</xdr:colOff>
      <xdr:row>32</xdr:row>
      <xdr:rowOff>121533</xdr:rowOff>
    </xdr:to>
    <xdr:cxnSp macro="">
      <xdr:nvCxnSpPr>
        <xdr:cNvPr id="20" name="Přímá spojnice se šipkou 19">
          <a:extLst>
            <a:ext uri="{FF2B5EF4-FFF2-40B4-BE49-F238E27FC236}">
              <a16:creationId xmlns:a16="http://schemas.microsoft.com/office/drawing/2014/main" id="{28AA5C9E-CEC3-42F3-98AD-E63F5477D127}"/>
            </a:ext>
          </a:extLst>
        </xdr:cNvPr>
        <xdr:cNvCxnSpPr/>
      </xdr:nvCxnSpPr>
      <xdr:spPr>
        <a:xfrm>
          <a:off x="10644851" y="5947458"/>
          <a:ext cx="0" cy="21220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9647</xdr:colOff>
      <xdr:row>37</xdr:row>
      <xdr:rowOff>156447</xdr:rowOff>
    </xdr:from>
    <xdr:to>
      <xdr:col>5</xdr:col>
      <xdr:colOff>28938</xdr:colOff>
      <xdr:row>62</xdr:row>
      <xdr:rowOff>177069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0BCA6CE3-3004-884A-E7BC-4311DE3B1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596" y="7110903"/>
          <a:ext cx="6250329" cy="4669786"/>
        </a:xfrm>
        <a:prstGeom prst="rect">
          <a:avLst/>
        </a:prstGeom>
      </xdr:spPr>
    </xdr:pic>
    <xdr:clientData/>
  </xdr:twoCellAnchor>
  <xdr:twoCellAnchor editAs="oneCell">
    <xdr:from>
      <xdr:col>5</xdr:col>
      <xdr:colOff>3654</xdr:colOff>
      <xdr:row>38</xdr:row>
      <xdr:rowOff>38581</xdr:rowOff>
    </xdr:from>
    <xdr:to>
      <xdr:col>18</xdr:col>
      <xdr:colOff>411482</xdr:colOff>
      <xdr:row>49</xdr:row>
      <xdr:rowOff>18749</xdr:rowOff>
    </xdr:to>
    <xdr:pic>
      <xdr:nvPicPr>
        <xdr:cNvPr id="25" name="Obrázek 24">
          <a:extLst>
            <a:ext uri="{FF2B5EF4-FFF2-40B4-BE49-F238E27FC236}">
              <a16:creationId xmlns:a16="http://schemas.microsoft.com/office/drawing/2014/main" id="{F8D1F0E2-96D5-F427-D80C-B5303A8B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6641" y="7176303"/>
          <a:ext cx="9214233" cy="1996092"/>
        </a:xfrm>
        <a:prstGeom prst="rect">
          <a:avLst/>
        </a:prstGeom>
      </xdr:spPr>
    </xdr:pic>
    <xdr:clientData/>
  </xdr:twoCellAnchor>
  <xdr:twoCellAnchor>
    <xdr:from>
      <xdr:col>0</xdr:col>
      <xdr:colOff>1716911</xdr:colOff>
      <xdr:row>35</xdr:row>
      <xdr:rowOff>163975</xdr:rowOff>
    </xdr:from>
    <xdr:to>
      <xdr:col>18</xdr:col>
      <xdr:colOff>28937</xdr:colOff>
      <xdr:row>64</xdr:row>
      <xdr:rowOff>163975</xdr:rowOff>
    </xdr:to>
    <xdr:sp macro="" textlink="">
      <xdr:nvSpPr>
        <xdr:cNvPr id="27" name="Obdélník 26">
          <a:extLst>
            <a:ext uri="{FF2B5EF4-FFF2-40B4-BE49-F238E27FC236}">
              <a16:creationId xmlns:a16="http://schemas.microsoft.com/office/drawing/2014/main" id="{C4B29938-3052-A0A8-3F52-78272299E53E}"/>
            </a:ext>
          </a:extLst>
        </xdr:cNvPr>
        <xdr:cNvSpPr/>
      </xdr:nvSpPr>
      <xdr:spPr>
        <a:xfrm>
          <a:off x="1716911" y="6751899"/>
          <a:ext cx="15201418" cy="5314709"/>
        </a:xfrm>
        <a:prstGeom prst="rect">
          <a:avLst/>
        </a:prstGeom>
        <a:noFill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cs-CZ" sz="1100"/>
        </a:p>
      </xdr:txBody>
    </xdr:sp>
    <xdr:clientData/>
  </xdr:twoCellAnchor>
  <xdr:twoCellAnchor editAs="oneCell">
    <xdr:from>
      <xdr:col>20</xdr:col>
      <xdr:colOff>48229</xdr:colOff>
      <xdr:row>39</xdr:row>
      <xdr:rowOff>0</xdr:rowOff>
    </xdr:from>
    <xdr:to>
      <xdr:col>27</xdr:col>
      <xdr:colOff>452908</xdr:colOff>
      <xdr:row>59</xdr:row>
      <xdr:rowOff>59478</xdr:rowOff>
    </xdr:to>
    <xdr:pic>
      <xdr:nvPicPr>
        <xdr:cNvPr id="32" name="Obrázek 31">
          <a:extLst>
            <a:ext uri="{FF2B5EF4-FFF2-40B4-BE49-F238E27FC236}">
              <a16:creationId xmlns:a16="http://schemas.microsoft.com/office/drawing/2014/main" id="{01EE4060-7D0A-9575-09FC-D8EA1AAC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2963" y="7388506"/>
          <a:ext cx="4658375" cy="3724795"/>
        </a:xfrm>
        <a:prstGeom prst="rect">
          <a:avLst/>
        </a:prstGeom>
      </xdr:spPr>
    </xdr:pic>
    <xdr:clientData/>
  </xdr:twoCellAnchor>
  <xdr:twoCellAnchor>
    <xdr:from>
      <xdr:col>18</xdr:col>
      <xdr:colOff>250785</xdr:colOff>
      <xdr:row>35</xdr:row>
      <xdr:rowOff>173620</xdr:rowOff>
    </xdr:from>
    <xdr:to>
      <xdr:col>28</xdr:col>
      <xdr:colOff>202557</xdr:colOff>
      <xdr:row>65</xdr:row>
      <xdr:rowOff>9645</xdr:rowOff>
    </xdr:to>
    <xdr:sp macro="" textlink="">
      <xdr:nvSpPr>
        <xdr:cNvPr id="33" name="Obdélník 32">
          <a:extLst>
            <a:ext uri="{FF2B5EF4-FFF2-40B4-BE49-F238E27FC236}">
              <a16:creationId xmlns:a16="http://schemas.microsoft.com/office/drawing/2014/main" id="{521B8154-0DC7-E84A-D4AE-21F81D246A31}"/>
            </a:ext>
          </a:extLst>
        </xdr:cNvPr>
        <xdr:cNvSpPr/>
      </xdr:nvSpPr>
      <xdr:spPr>
        <a:xfrm>
          <a:off x="17140177" y="6761544"/>
          <a:ext cx="6028481" cy="5401519"/>
        </a:xfrm>
        <a:prstGeom prst="rect">
          <a:avLst/>
        </a:prstGeom>
        <a:noFill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cs-CZ" sz="1100"/>
        </a:p>
      </xdr:txBody>
    </xdr:sp>
    <xdr:clientData/>
  </xdr:twoCellAnchor>
  <xdr:twoCellAnchor>
    <xdr:from>
      <xdr:col>8</xdr:col>
      <xdr:colOff>443696</xdr:colOff>
      <xdr:row>31</xdr:row>
      <xdr:rowOff>106101</xdr:rowOff>
    </xdr:from>
    <xdr:to>
      <xdr:col>18</xdr:col>
      <xdr:colOff>588380</xdr:colOff>
      <xdr:row>34</xdr:row>
      <xdr:rowOff>173620</xdr:rowOff>
    </xdr:to>
    <xdr:cxnSp macro="">
      <xdr:nvCxnSpPr>
        <xdr:cNvPr id="35" name="Přímá spojnice se šipkou 34">
          <a:extLst>
            <a:ext uri="{FF2B5EF4-FFF2-40B4-BE49-F238E27FC236}">
              <a16:creationId xmlns:a16="http://schemas.microsoft.com/office/drawing/2014/main" id="{770687B6-CA92-9A0A-CBD7-4F9885B99FEF}"/>
            </a:ext>
          </a:extLst>
        </xdr:cNvPr>
        <xdr:cNvCxnSpPr/>
      </xdr:nvCxnSpPr>
      <xdr:spPr>
        <a:xfrm>
          <a:off x="11111696" y="5960962"/>
          <a:ext cx="6366076" cy="61731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8"/>
  <sheetViews>
    <sheetView tabSelected="1" topLeftCell="A2" zoomScale="73" zoomScaleNormal="73" workbookViewId="0">
      <selection activeCell="R24" sqref="R24"/>
    </sheetView>
  </sheetViews>
  <sheetFormatPr defaultRowHeight="14.4" x14ac:dyDescent="0.3"/>
  <cols>
    <col min="1" max="1" width="27" customWidth="1"/>
    <col min="2" max="2" width="17.109375" customWidth="1"/>
    <col min="3" max="3" width="41.109375" customWidth="1"/>
    <col min="4" max="4" width="16.21875" customWidth="1"/>
    <col min="5" max="5" width="16.44140625" customWidth="1"/>
    <col min="6" max="6" width="15.5546875" customWidth="1"/>
    <col min="7" max="7" width="15.33203125" customWidth="1"/>
    <col min="8" max="8" width="6.77734375" customWidth="1"/>
    <col min="10" max="10" width="9.44140625" customWidth="1"/>
    <col min="13" max="13" width="10.44140625" customWidth="1"/>
  </cols>
  <sheetData>
    <row r="2" spans="1:13" x14ac:dyDescent="0.3">
      <c r="A2" s="33" t="s">
        <v>82</v>
      </c>
      <c r="B2" s="33"/>
      <c r="C2" s="33"/>
      <c r="D2" s="33"/>
      <c r="E2" s="33"/>
    </row>
    <row r="3" spans="1:13" ht="15" customHeight="1" x14ac:dyDescent="0.3">
      <c r="A3" s="33"/>
      <c r="B3" s="33"/>
      <c r="C3" s="33"/>
      <c r="D3" s="33"/>
      <c r="E3" s="33"/>
      <c r="L3" s="1"/>
    </row>
    <row r="4" spans="1:13" x14ac:dyDescent="0.3">
      <c r="A4" s="33"/>
      <c r="B4" s="33"/>
      <c r="C4" s="33"/>
      <c r="D4" s="33"/>
      <c r="E4" s="33"/>
      <c r="L4" s="1"/>
    </row>
    <row r="5" spans="1:13" ht="15" thickBot="1" x14ac:dyDescent="0.35">
      <c r="L5" s="1"/>
    </row>
    <row r="6" spans="1:13" x14ac:dyDescent="0.3">
      <c r="A6" s="5" t="s">
        <v>0</v>
      </c>
      <c r="B6" s="6" t="s">
        <v>61</v>
      </c>
      <c r="C6" s="6" t="s">
        <v>1</v>
      </c>
      <c r="D6" s="6" t="s">
        <v>64</v>
      </c>
      <c r="E6" s="6" t="s">
        <v>59</v>
      </c>
      <c r="F6" s="6" t="s">
        <v>62</v>
      </c>
      <c r="G6" s="7" t="s">
        <v>63</v>
      </c>
      <c r="L6" s="28" t="s">
        <v>2</v>
      </c>
      <c r="M6" s="10" t="s">
        <v>3</v>
      </c>
    </row>
    <row r="7" spans="1:13" x14ac:dyDescent="0.3">
      <c r="A7" s="24" t="s">
        <v>4</v>
      </c>
      <c r="B7" s="2"/>
      <c r="C7" s="2" t="s">
        <v>32</v>
      </c>
      <c r="D7" s="3" t="s">
        <v>79</v>
      </c>
      <c r="E7" s="25">
        <v>1</v>
      </c>
      <c r="F7" s="25" t="s">
        <v>80</v>
      </c>
      <c r="G7" s="30">
        <v>8.44</v>
      </c>
      <c r="L7" s="29" t="s">
        <v>6</v>
      </c>
      <c r="M7" s="11" t="s">
        <v>5</v>
      </c>
    </row>
    <row r="8" spans="1:13" x14ac:dyDescent="0.3">
      <c r="A8" s="24" t="s">
        <v>7</v>
      </c>
      <c r="B8" s="2"/>
      <c r="C8" s="2" t="s">
        <v>33</v>
      </c>
      <c r="D8" s="3" t="s">
        <v>79</v>
      </c>
      <c r="E8" s="25">
        <v>1</v>
      </c>
      <c r="F8" s="26" t="s">
        <v>80</v>
      </c>
      <c r="G8" s="26" t="s">
        <v>80</v>
      </c>
      <c r="L8" s="13" t="s">
        <v>8</v>
      </c>
      <c r="M8" s="11" t="s">
        <v>9</v>
      </c>
    </row>
    <row r="9" spans="1:13" x14ac:dyDescent="0.3">
      <c r="A9" s="24" t="s">
        <v>10</v>
      </c>
      <c r="B9" s="2"/>
      <c r="C9" s="2" t="s">
        <v>33</v>
      </c>
      <c r="D9" s="3" t="s">
        <v>79</v>
      </c>
      <c r="E9" s="25">
        <v>1</v>
      </c>
      <c r="F9" s="26" t="s">
        <v>80</v>
      </c>
      <c r="G9" s="26" t="s">
        <v>80</v>
      </c>
      <c r="H9" s="9"/>
      <c r="K9" s="1"/>
      <c r="L9" s="13" t="s">
        <v>11</v>
      </c>
      <c r="M9" s="11" t="s">
        <v>9</v>
      </c>
    </row>
    <row r="10" spans="1:13" ht="15.6" customHeight="1" x14ac:dyDescent="0.3">
      <c r="A10" s="24" t="s">
        <v>12</v>
      </c>
      <c r="B10" s="2"/>
      <c r="C10" s="2" t="s">
        <v>37</v>
      </c>
      <c r="D10" s="3" t="s">
        <v>79</v>
      </c>
      <c r="E10" s="25">
        <v>1</v>
      </c>
      <c r="F10" s="26" t="s">
        <v>80</v>
      </c>
      <c r="G10" s="26" t="s">
        <v>80</v>
      </c>
      <c r="H10" s="9"/>
      <c r="K10" s="1"/>
      <c r="L10" s="13" t="s">
        <v>13</v>
      </c>
      <c r="M10" s="11" t="s">
        <v>9</v>
      </c>
    </row>
    <row r="11" spans="1:13" x14ac:dyDescent="0.3">
      <c r="A11" s="24" t="s">
        <v>14</v>
      </c>
      <c r="B11" s="2" t="s">
        <v>52</v>
      </c>
      <c r="C11" s="2" t="s">
        <v>36</v>
      </c>
      <c r="D11" s="2" t="s">
        <v>69</v>
      </c>
      <c r="E11" s="25">
        <v>2</v>
      </c>
      <c r="F11" s="26">
        <v>7.02</v>
      </c>
      <c r="G11" s="26" t="s">
        <v>80</v>
      </c>
      <c r="H11" s="9"/>
      <c r="K11" s="1"/>
      <c r="L11" s="13" t="s">
        <v>15</v>
      </c>
      <c r="M11" s="11" t="s">
        <v>9</v>
      </c>
    </row>
    <row r="12" spans="1:13" x14ac:dyDescent="0.3">
      <c r="A12" s="24" t="s">
        <v>46</v>
      </c>
      <c r="B12" s="2" t="s">
        <v>58</v>
      </c>
      <c r="C12" s="2"/>
      <c r="D12" s="2" t="s">
        <v>78</v>
      </c>
      <c r="E12" s="25">
        <v>1</v>
      </c>
      <c r="F12" s="26">
        <v>23.86</v>
      </c>
      <c r="G12" s="26" t="s">
        <v>80</v>
      </c>
      <c r="H12" s="9"/>
      <c r="K12" s="1"/>
      <c r="L12" s="13" t="s">
        <v>16</v>
      </c>
      <c r="M12" s="11" t="s">
        <v>9</v>
      </c>
    </row>
    <row r="13" spans="1:13" x14ac:dyDescent="0.3">
      <c r="A13" s="24" t="s">
        <v>17</v>
      </c>
      <c r="B13" s="2" t="s">
        <v>57</v>
      </c>
      <c r="C13" s="2"/>
      <c r="D13" s="2" t="s">
        <v>77</v>
      </c>
      <c r="E13" s="25">
        <v>2</v>
      </c>
      <c r="F13" s="26">
        <v>8.48</v>
      </c>
      <c r="G13" s="26" t="s">
        <v>80</v>
      </c>
      <c r="H13" s="9"/>
      <c r="K13" s="1"/>
      <c r="L13" s="13" t="s">
        <v>18</v>
      </c>
      <c r="M13" s="11" t="s">
        <v>9</v>
      </c>
    </row>
    <row r="14" spans="1:13" x14ac:dyDescent="0.3">
      <c r="A14" s="24" t="s">
        <v>47</v>
      </c>
      <c r="B14" s="2" t="s">
        <v>56</v>
      </c>
      <c r="C14" s="2"/>
      <c r="D14" s="2" t="s">
        <v>76</v>
      </c>
      <c r="E14" s="25">
        <v>2</v>
      </c>
      <c r="F14" s="26">
        <v>43.86</v>
      </c>
      <c r="G14" s="26" t="s">
        <v>80</v>
      </c>
      <c r="H14" s="9"/>
      <c r="K14" s="1"/>
      <c r="L14" s="13" t="s">
        <v>19</v>
      </c>
      <c r="M14" s="11" t="s">
        <v>9</v>
      </c>
    </row>
    <row r="15" spans="1:13" x14ac:dyDescent="0.3">
      <c r="A15" s="24" t="s">
        <v>60</v>
      </c>
      <c r="B15" s="2" t="s">
        <v>55</v>
      </c>
      <c r="C15" s="2" t="s">
        <v>39</v>
      </c>
      <c r="D15" s="2" t="s">
        <v>75</v>
      </c>
      <c r="E15" s="25">
        <v>2</v>
      </c>
      <c r="F15" s="26">
        <v>45.02</v>
      </c>
      <c r="G15" s="26" t="s">
        <v>80</v>
      </c>
      <c r="H15" s="1"/>
      <c r="L15" s="13" t="s">
        <v>20</v>
      </c>
      <c r="M15" s="11" t="s">
        <v>9</v>
      </c>
    </row>
    <row r="16" spans="1:13" x14ac:dyDescent="0.3">
      <c r="A16" s="24" t="s">
        <v>21</v>
      </c>
      <c r="B16" s="2" t="s">
        <v>54</v>
      </c>
      <c r="C16" s="2" t="s">
        <v>44</v>
      </c>
      <c r="D16" s="2" t="s">
        <v>71</v>
      </c>
      <c r="E16" s="25">
        <v>1</v>
      </c>
      <c r="F16" s="26">
        <v>32.74</v>
      </c>
      <c r="G16" s="26" t="s">
        <v>80</v>
      </c>
      <c r="H16" s="8"/>
      <c r="L16" s="13" t="s">
        <v>22</v>
      </c>
      <c r="M16" s="11" t="s">
        <v>9</v>
      </c>
    </row>
    <row r="17" spans="1:14" x14ac:dyDescent="0.3">
      <c r="A17" s="24" t="s">
        <v>73</v>
      </c>
      <c r="B17" s="2" t="s">
        <v>74</v>
      </c>
      <c r="C17" s="2" t="s">
        <v>42</v>
      </c>
      <c r="D17" s="2" t="s">
        <v>72</v>
      </c>
      <c r="E17" s="25">
        <v>2</v>
      </c>
      <c r="F17" s="26">
        <v>157.16</v>
      </c>
      <c r="G17" s="26" t="s">
        <v>80</v>
      </c>
      <c r="H17" s="8"/>
      <c r="L17" s="13" t="s">
        <v>72</v>
      </c>
      <c r="M17" s="11" t="s">
        <v>9</v>
      </c>
    </row>
    <row r="18" spans="1:14" x14ac:dyDescent="0.3">
      <c r="A18" s="24" t="s">
        <v>45</v>
      </c>
      <c r="B18" s="2" t="s">
        <v>53</v>
      </c>
      <c r="C18" s="2" t="s">
        <v>43</v>
      </c>
      <c r="D18" s="2" t="s">
        <v>70</v>
      </c>
      <c r="E18" s="25">
        <v>2</v>
      </c>
      <c r="F18" s="26">
        <v>28.46</v>
      </c>
      <c r="G18" s="26" t="s">
        <v>80</v>
      </c>
      <c r="H18" s="8"/>
      <c r="L18" s="13" t="s">
        <v>23</v>
      </c>
      <c r="M18" s="11" t="s">
        <v>9</v>
      </c>
    </row>
    <row r="19" spans="1:14" x14ac:dyDescent="0.3">
      <c r="A19" s="24" t="s">
        <v>24</v>
      </c>
      <c r="B19" s="2" t="s">
        <v>51</v>
      </c>
      <c r="C19" s="2" t="s">
        <v>33</v>
      </c>
      <c r="D19" s="2" t="s">
        <v>68</v>
      </c>
      <c r="E19" s="25">
        <v>3</v>
      </c>
      <c r="F19" s="26">
        <v>18.13</v>
      </c>
      <c r="G19" s="26" t="s">
        <v>80</v>
      </c>
      <c r="H19" s="8"/>
      <c r="L19" s="13" t="s">
        <v>25</v>
      </c>
      <c r="M19" s="11" t="s">
        <v>9</v>
      </c>
    </row>
    <row r="20" spans="1:14" ht="16.2" customHeight="1" x14ac:dyDescent="0.3">
      <c r="A20" s="24" t="s">
        <v>26</v>
      </c>
      <c r="B20" s="2" t="s">
        <v>50</v>
      </c>
      <c r="C20" s="2" t="s">
        <v>41</v>
      </c>
      <c r="D20" s="2" t="s">
        <v>67</v>
      </c>
      <c r="E20" s="25">
        <v>2</v>
      </c>
      <c r="F20" s="26">
        <v>107.3</v>
      </c>
      <c r="G20" s="26" t="s">
        <v>80</v>
      </c>
      <c r="H20" s="8"/>
      <c r="K20" s="1"/>
      <c r="L20" s="13" t="s">
        <v>27</v>
      </c>
      <c r="M20" s="11" t="s">
        <v>9</v>
      </c>
    </row>
    <row r="21" spans="1:14" x14ac:dyDescent="0.3">
      <c r="A21" s="24" t="s">
        <v>28</v>
      </c>
      <c r="B21" s="2" t="s">
        <v>49</v>
      </c>
      <c r="C21" s="2" t="s">
        <v>40</v>
      </c>
      <c r="D21" s="2" t="s">
        <v>65</v>
      </c>
      <c r="E21" s="25">
        <v>2</v>
      </c>
      <c r="F21" s="26">
        <v>129.22999999999999</v>
      </c>
      <c r="G21" s="26" t="s">
        <v>80</v>
      </c>
      <c r="H21" s="8"/>
      <c r="K21" s="1"/>
      <c r="L21" s="13" t="s">
        <v>29</v>
      </c>
      <c r="M21" s="11" t="s">
        <v>9</v>
      </c>
    </row>
    <row r="22" spans="1:14" ht="15" thickBot="1" x14ac:dyDescent="0.35">
      <c r="A22" s="24" t="s">
        <v>31</v>
      </c>
      <c r="B22" s="2" t="s">
        <v>48</v>
      </c>
      <c r="C22" s="2" t="s">
        <v>42</v>
      </c>
      <c r="D22" s="2" t="s">
        <v>66</v>
      </c>
      <c r="E22" s="25">
        <v>2</v>
      </c>
      <c r="F22" s="26">
        <v>159.04</v>
      </c>
      <c r="G22" s="26" t="s">
        <v>80</v>
      </c>
      <c r="H22" s="8"/>
      <c r="K22" s="1"/>
      <c r="L22" s="14" t="s">
        <v>30</v>
      </c>
      <c r="M22" s="12" t="s">
        <v>9</v>
      </c>
    </row>
    <row r="23" spans="1:14" x14ac:dyDescent="0.3">
      <c r="A23" s="24" t="s">
        <v>35</v>
      </c>
      <c r="B23" s="2"/>
      <c r="C23" s="2" t="s">
        <v>38</v>
      </c>
      <c r="D23" s="3" t="s">
        <v>79</v>
      </c>
      <c r="E23" s="25">
        <v>1</v>
      </c>
      <c r="F23" s="26" t="s">
        <v>80</v>
      </c>
      <c r="G23" s="26" t="s">
        <v>80</v>
      </c>
      <c r="H23" s="8"/>
      <c r="K23" s="1"/>
    </row>
    <row r="24" spans="1:14" ht="15" thickBot="1" x14ac:dyDescent="0.35">
      <c r="A24" s="27" t="s">
        <v>81</v>
      </c>
      <c r="B24" s="4"/>
      <c r="C24" s="4"/>
      <c r="D24" s="32" t="s">
        <v>79</v>
      </c>
      <c r="E24" s="31"/>
      <c r="F24" s="34">
        <v>169.41</v>
      </c>
      <c r="G24" s="34" t="s">
        <v>80</v>
      </c>
      <c r="H24" s="8"/>
      <c r="K24" s="1"/>
      <c r="L24" s="8"/>
      <c r="M24" s="8"/>
    </row>
    <row r="25" spans="1:14" ht="15" thickBot="1" x14ac:dyDescent="0.35">
      <c r="D25" s="1"/>
      <c r="E25" s="1"/>
      <c r="F25" s="35">
        <f>SUM(F11:F24)</f>
        <v>929.70999999999992</v>
      </c>
      <c r="G25" s="36">
        <f>SUM(G7:G24)</f>
        <v>8.44</v>
      </c>
      <c r="K25" s="15" t="s">
        <v>34</v>
      </c>
      <c r="L25" s="16"/>
      <c r="M25" s="16"/>
      <c r="N25" s="17"/>
    </row>
    <row r="26" spans="1:14" x14ac:dyDescent="0.3">
      <c r="K26" s="18"/>
      <c r="L26" s="19"/>
      <c r="M26" s="19"/>
      <c r="N26" s="20"/>
    </row>
    <row r="27" spans="1:14" ht="15" thickBot="1" x14ac:dyDescent="0.35">
      <c r="K27" s="18"/>
      <c r="L27" s="19"/>
      <c r="M27" s="19"/>
      <c r="N27" s="20"/>
    </row>
    <row r="28" spans="1:14" ht="15" thickBot="1" x14ac:dyDescent="0.35">
      <c r="D28" s="37" t="s">
        <v>83</v>
      </c>
      <c r="E28" s="38" t="s">
        <v>84</v>
      </c>
      <c r="K28" s="18"/>
      <c r="L28" s="19"/>
      <c r="M28" s="19"/>
      <c r="N28" s="20"/>
    </row>
    <row r="29" spans="1:14" ht="15" thickBot="1" x14ac:dyDescent="0.35">
      <c r="E29" s="39" t="s">
        <v>85</v>
      </c>
      <c r="K29" s="21"/>
      <c r="L29" s="22"/>
      <c r="M29" s="22"/>
      <c r="N29" s="23"/>
    </row>
    <row r="30" spans="1:14" ht="15" thickBot="1" x14ac:dyDescent="0.35">
      <c r="D30" s="43" t="s">
        <v>88</v>
      </c>
      <c r="E30" s="38" t="s">
        <v>86</v>
      </c>
    </row>
    <row r="31" spans="1:14" ht="18" thickBot="1" x14ac:dyDescent="0.4">
      <c r="C31" s="40" t="s">
        <v>87</v>
      </c>
      <c r="D31" s="41"/>
      <c r="E31" s="42" t="s">
        <v>89</v>
      </c>
      <c r="G31" s="44" t="s">
        <v>90</v>
      </c>
    </row>
    <row r="38" spans="7:22" ht="19.8" x14ac:dyDescent="0.4">
      <c r="G38" s="45" t="s">
        <v>91</v>
      </c>
      <c r="V38" s="45" t="s">
        <v>92</v>
      </c>
    </row>
  </sheetData>
  <mergeCells count="3">
    <mergeCell ref="K25:N29"/>
    <mergeCell ref="A2:E4"/>
    <mergeCell ref="C31:D3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2026-03-29T09:57:50Z</dcterms:created>
  <dcterms:modified xsi:type="dcterms:W3CDTF">2026-08-20T17:26:45Z</dcterms:modified>
  <cp:category/>
</cp:coreProperties>
</file>